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fd62044dba754/Área de Trabalho/Excel - Santander/Imposto de Renda/app_income_tax/"/>
    </mc:Choice>
  </mc:AlternateContent>
  <xr:revisionPtr revIDLastSave="544" documentId="8_{F5E2AA90-17DE-4235-A42E-60D809282AE3}" xr6:coauthVersionLast="47" xr6:coauthVersionMax="47" xr10:uidLastSave="{4D8E3D6F-9D24-4550-9CE7-79DDE5F4D0FC}"/>
  <bookViews>
    <workbookView xWindow="-120" yWindow="-120" windowWidth="20730" windowHeight="11040" xr2:uid="{65926913-E296-4B84-95EC-D96CED0EA6C2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4" i="3"/>
  <c r="D2" i="3"/>
  <c r="C4" i="2"/>
  <c r="D2" i="2"/>
  <c r="C8" i="2"/>
</calcChain>
</file>

<file path=xl/sharedStrings.xml><?xml version="1.0" encoding="utf-8"?>
<sst xmlns="http://schemas.openxmlformats.org/spreadsheetml/2006/main" count="104" uniqueCount="92">
  <si>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</si>
  <si>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</si>
  <si>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</si>
  <si>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</si>
  <si>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</si>
  <si>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</si>
  <si>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</si>
  <si>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</si>
  <si>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</si>
  <si>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</si>
  <si>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</si>
  <si>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</si>
  <si>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CONJUGE</t>
  </si>
  <si>
    <t>RESIDENTE DO EXTERIOR</t>
  </si>
  <si>
    <t>1. DADOS DO TITULAR</t>
  </si>
  <si>
    <t>Harry Thiago Potter</t>
  </si>
  <si>
    <t>Gina Weasley Potter</t>
  </si>
  <si>
    <t>Dos alfeiros</t>
  </si>
  <si>
    <t>harry.potter@hogwarts.com</t>
  </si>
  <si>
    <t>NÃO</t>
  </si>
  <si>
    <t>SIM</t>
  </si>
  <si>
    <t>Dos Alfeneiros, 4 Little Whinging, Surrey. England</t>
  </si>
  <si>
    <t>Preencha os dados conforme solicitado abaixo</t>
  </si>
  <si>
    <t>2. INFORMES DE RENDIMENTOS</t>
  </si>
  <si>
    <t>bancos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</si>
  <si>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</si>
  <si>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</si>
  <si>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</si>
  <si>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</si>
  <si>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</si>
  <si>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</si>
  <si>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</si>
  <si>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</si>
  <si>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</si>
  <si>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</si>
  <si>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</si>
  <si>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</si>
  <si>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</si>
  <si>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</si>
  <si>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</si>
  <si>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</si>
  <si>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</si>
  <si>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</si>
  <si>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</si>
  <si>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</si>
  <si>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</si>
  <si>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</si>
  <si>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</si>
  <si>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</si>
  <si>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</si>
  <si>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</si>
  <si>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</si>
  <si>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</si>
  <si>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</si>
  <si>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</si>
  <si>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</si>
  <si>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</si>
  <si>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</si>
  <si>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</si>
  <si>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</si>
  <si>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</si>
  <si>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</si>
  <si>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</si>
  <si>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</si>
  <si>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</si>
  <si>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</si>
  <si>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</si>
  <si>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</si>
  <si>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</si>
  <si>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</si>
  <si>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</si>
  <si>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</si>
  <si>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</si>
  <si>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</si>
  <si>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</si>
  <si>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 ATUAL</t>
  </si>
  <si>
    <t>ANEXO💾</t>
  </si>
  <si>
    <t>001 - Banco do Brasil</t>
  </si>
  <si>
    <t>1º Banco</t>
  </si>
  <si>
    <t>2º Banco</t>
  </si>
  <si>
    <t>3º Banco</t>
  </si>
  <si>
    <t>TOTAL</t>
  </si>
  <si>
    <t>Exercício</t>
  </si>
  <si>
    <t>3. NOTAS / RECIBOS / HOLERITES</t>
  </si>
  <si>
    <t>DATA</t>
  </si>
  <si>
    <t>CATEGORIA</t>
  </si>
  <si>
    <t>VALOR</t>
  </si>
  <si>
    <t>ENTRADAS</t>
  </si>
  <si>
    <t>HOLERITE(CONTRA-CHEQUE)</t>
  </si>
  <si>
    <t>NOTA FISCAL DE SERVIÇO</t>
  </si>
  <si>
    <t>RECIBO</t>
  </si>
  <si>
    <t>TOTAL 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</si>
</sst>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&quot;(&quot;00&quot;)&quot;0000&quot;-&quot;0000"/>
    <numFmt numFmtId="166" formatCode="&quot;(&quot;00&quot;)&quot;0\ 0000&quot;-&quot;0000"/>
    <numFmt numFmtId="167" formatCode="00&quot;.&quot;000&quot;-&quot;000"/>
    <numFmt numFmtId="168" formatCode="0000&quot; &quot;0000&quot; &quot;0000"/>
    <numFmt numFmtId="169" formatCode="&quot;R$&quot;\ #,##0.00"/>
    <numFmt numFmtId="172" formatCode="mmmm/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6"/>
      <color theme="1"/>
      <name val="Arial"/>
      <family val="2"/>
    </font>
    <font>
      <b/>
      <sz val="15"/>
      <color theme="3"/>
      <name val="Segoe UI"/>
      <family val="2"/>
    </font>
    <font>
      <i/>
      <sz val="10"/>
      <color theme="3" tint="9.9978637043366805E-2"/>
      <name val="Segoe UI"/>
      <family val="2"/>
    </font>
    <font>
      <sz val="11"/>
      <color theme="3" tint="9.9978637043366805E-2"/>
      <name val="Segoe UI Light"/>
      <family val="2"/>
    </font>
    <font>
      <b/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2" tint="-0.499984740745262"/>
      <name val="Segoe UI Light"/>
      <family val="2"/>
    </font>
    <font>
      <sz val="16"/>
      <color theme="2" tint="-0.499984740745262"/>
      <name val="Aptos Narrow"/>
      <family val="2"/>
      <scheme val="minor"/>
    </font>
    <font>
      <b/>
      <sz val="10"/>
      <color theme="4"/>
      <name val="Segoe UI Light"/>
      <family val="2"/>
    </font>
    <font>
      <b/>
      <i/>
      <sz val="10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3" borderId="0" xfId="0" applyFont="1" applyFill="1"/>
    <xf numFmtId="0" fontId="1" fillId="0" borderId="1" xfId="1"/>
    <xf numFmtId="0" fontId="4" fillId="0" borderId="1" xfId="1" applyFont="1"/>
    <xf numFmtId="0" fontId="6" fillId="0" borderId="2" xfId="0" applyFont="1" applyBorder="1" applyAlignment="1">
      <alignment horizontal="right"/>
    </xf>
    <xf numFmtId="0" fontId="7" fillId="6" borderId="0" xfId="0" applyFont="1" applyFill="1"/>
    <xf numFmtId="0" fontId="5" fillId="4" borderId="3" xfId="0" applyFont="1" applyFill="1" applyBorder="1" applyAlignment="1">
      <alignment horizontal="left" indent="3"/>
    </xf>
    <xf numFmtId="0" fontId="10" fillId="0" borderId="0" xfId="0" applyFont="1"/>
    <xf numFmtId="169" fontId="5" fillId="4" borderId="3" xfId="0" applyNumberFormat="1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4" fillId="0" borderId="1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9" fontId="14" fillId="7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2" fillId="5" borderId="2" xfId="2" applyFill="1" applyBorder="1" applyAlignment="1" applyProtection="1">
      <alignment horizontal="left"/>
      <protection locked="0"/>
    </xf>
    <xf numFmtId="164" fontId="2" fillId="5" borderId="2" xfId="2" applyNumberFormat="1" applyFill="1" applyBorder="1" applyAlignment="1" applyProtection="1">
      <alignment horizontal="left"/>
      <protection locked="0"/>
    </xf>
    <xf numFmtId="14" fontId="2" fillId="5" borderId="2" xfId="2" applyNumberFormat="1" applyFill="1" applyBorder="1" applyAlignment="1" applyProtection="1">
      <alignment horizontal="left"/>
      <protection locked="0"/>
    </xf>
    <xf numFmtId="168" fontId="2" fillId="5" borderId="2" xfId="2" applyNumberFormat="1" applyFill="1" applyBorder="1" applyAlignment="1" applyProtection="1">
      <alignment horizontal="left"/>
      <protection locked="0"/>
    </xf>
    <xf numFmtId="167" fontId="2" fillId="5" borderId="2" xfId="2" applyNumberFormat="1" applyFill="1" applyBorder="1" applyAlignment="1" applyProtection="1">
      <alignment horizontal="left"/>
      <protection locked="0"/>
    </xf>
    <xf numFmtId="165" fontId="2" fillId="5" borderId="2" xfId="2" applyNumberFormat="1" applyFill="1" applyBorder="1" applyAlignment="1" applyProtection="1">
      <alignment horizontal="left"/>
      <protection locked="0"/>
    </xf>
    <xf numFmtId="166" fontId="2" fillId="5" borderId="2" xfId="2" applyNumberFormat="1" applyFill="1" applyBorder="1" applyAlignment="1" applyProtection="1">
      <alignment horizontal="left"/>
      <protection locked="0"/>
    </xf>
    <xf numFmtId="0" fontId="2" fillId="5" borderId="2" xfId="2" applyFill="1" applyBorder="1" applyProtection="1">
      <protection locked="0"/>
    </xf>
    <xf numFmtId="169" fontId="2" fillId="5" borderId="2" xfId="2" applyNumberFormat="1" applyFill="1" applyBorder="1" applyAlignment="1" applyProtection="1">
      <alignment horizontal="left" vertical="center"/>
      <protection locked="0"/>
    </xf>
    <xf numFmtId="0" fontId="2" fillId="5" borderId="2" xfId="2" applyNumberFormat="1" applyFill="1" applyBorder="1" applyAlignment="1" applyProtection="1">
      <alignment horizontal="left"/>
      <protection locked="0"/>
    </xf>
    <xf numFmtId="172" fontId="8" fillId="0" borderId="0" xfId="0" applyNumberFormat="1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169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9" fillId="5" borderId="2" xfId="3" applyNumberFormat="1" applyFill="1" applyBorder="1" applyAlignment="1" applyProtection="1">
      <alignment horizontal="left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1E60"/>
      <color rgb="FF00267A"/>
      <color rgb="FF4D4D4D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dreoliveirawebdev/" TargetMode="External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andreoliveirawebdev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andreoliveirawebdev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426384</xdr:colOff>
      <xdr:row>3</xdr:row>
      <xdr:rowOff>84312</xdr:rowOff>
    </xdr:from>
    <xdr:to>
      <xdr:col>0</xdr:col>
      <xdr:colOff>2097741</xdr:colOff>
      <xdr:row>11</xdr:row>
      <xdr:rowOff>85992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745DE3E-7BC2-FE93-109E-DDBB6AEF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84" y="988066"/>
          <a:ext cx="1671357" cy="167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</xdr:colOff>
      <xdr:row>0</xdr:row>
      <xdr:rowOff>123826</xdr:rowOff>
    </xdr:from>
    <xdr:to>
      <xdr:col>0</xdr:col>
      <xdr:colOff>2505075</xdr:colOff>
      <xdr:row>3</xdr:row>
      <xdr:rowOff>54910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0E41C6B-8006-FAF0-348A-D5F388E31089}"/>
            </a:ext>
          </a:extLst>
        </xdr:cNvPr>
        <xdr:cNvSpPr/>
      </xdr:nvSpPr>
      <xdr:spPr>
        <a:xfrm>
          <a:off x="19050" y="123826"/>
          <a:ext cx="2486025" cy="834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aseline="0">
              <a:gradFill>
                <a:gsLst>
                  <a:gs pos="60000">
                    <a:schemeClr val="accent1">
                      <a:lumMod val="5000"/>
                      <a:lumOff val="95000"/>
                    </a:schemeClr>
                  </a:gs>
                  <a:gs pos="19000">
                    <a:schemeClr val="accent1">
                      <a:lumMod val="45000"/>
                      <a:lumOff val="55000"/>
                    </a:schemeClr>
                  </a:gs>
                  <a:gs pos="9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LEÃO APP</a:t>
          </a:r>
          <a:endParaRPr lang="pt-BR" sz="2800">
            <a:gradFill>
              <a:gsLst>
                <a:gs pos="60000">
                  <a:schemeClr val="accent1">
                    <a:lumMod val="5000"/>
                    <a:lumOff val="95000"/>
                  </a:schemeClr>
                </a:gs>
                <a:gs pos="19000">
                  <a:schemeClr val="accent1">
                    <a:lumMod val="45000"/>
                    <a:lumOff val="55000"/>
                  </a:schemeClr>
                </a:gs>
                <a:gs pos="93000">
                  <a:schemeClr val="tx2">
                    <a:lumMod val="75000"/>
                    <a:lumOff val="2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169489</xdr:colOff>
      <xdr:row>12</xdr:row>
      <xdr:rowOff>168650</xdr:rowOff>
    </xdr:from>
    <xdr:to>
      <xdr:col>0</xdr:col>
      <xdr:colOff>2365489</xdr:colOff>
      <xdr:row>15</xdr:row>
      <xdr:rowOff>109276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299D3B-DEC7-7E7F-5787-99B988494F35}"/>
            </a:ext>
          </a:extLst>
        </xdr:cNvPr>
        <xdr:cNvSpPr/>
      </xdr:nvSpPr>
      <xdr:spPr>
        <a:xfrm>
          <a:off x="169489" y="2958354"/>
          <a:ext cx="2196000" cy="576000"/>
        </a:xfrm>
        <a:prstGeom prst="roundRect">
          <a:avLst>
            <a:gd name="adj" fmla="val 50000"/>
          </a:avLst>
        </a:prstGeom>
        <a:gradFill>
          <a:gsLst>
            <a:gs pos="31000">
              <a:schemeClr val="accent1">
                <a:lumMod val="45000"/>
                <a:lumOff val="55000"/>
              </a:schemeClr>
            </a:gs>
            <a:gs pos="77000">
              <a:schemeClr val="tx2">
                <a:alpha val="82000"/>
                <a:lumMod val="90000"/>
                <a:lumOff val="1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214312</xdr:colOff>
      <xdr:row>20</xdr:row>
      <xdr:rowOff>115981</xdr:rowOff>
    </xdr:from>
    <xdr:to>
      <xdr:col>0</xdr:col>
      <xdr:colOff>2410312</xdr:colOff>
      <xdr:row>23</xdr:row>
      <xdr:rowOff>120481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EA479F-24BF-401B-A5AE-4128FCCF8526}"/>
            </a:ext>
          </a:extLst>
        </xdr:cNvPr>
        <xdr:cNvSpPr/>
      </xdr:nvSpPr>
      <xdr:spPr>
        <a:xfrm>
          <a:off x="214312" y="4583206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	</a:t>
          </a:r>
        </a:p>
      </xdr:txBody>
    </xdr:sp>
    <xdr:clientData/>
  </xdr:twoCellAnchor>
  <xdr:twoCellAnchor editAs="absolute">
    <xdr:from>
      <xdr:col>0</xdr:col>
      <xdr:colOff>184054</xdr:colOff>
      <xdr:row>16</xdr:row>
      <xdr:rowOff>122704</xdr:rowOff>
    </xdr:from>
    <xdr:to>
      <xdr:col>0</xdr:col>
      <xdr:colOff>2380054</xdr:colOff>
      <xdr:row>19</xdr:row>
      <xdr:rowOff>59969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D49C94-D300-43D2-9FD7-05FCAB8CE98B}"/>
            </a:ext>
          </a:extLst>
        </xdr:cNvPr>
        <xdr:cNvSpPr/>
      </xdr:nvSpPr>
      <xdr:spPr>
        <a:xfrm>
          <a:off x="184054" y="3760694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291352</xdr:colOff>
      <xdr:row>29</xdr:row>
      <xdr:rowOff>11205</xdr:rowOff>
    </xdr:from>
    <xdr:to>
      <xdr:col>0</xdr:col>
      <xdr:colOff>2353235</xdr:colOff>
      <xdr:row>30</xdr:row>
      <xdr:rowOff>78440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3DA2547-C79A-EE30-A979-1BF6F9651B68}"/>
            </a:ext>
          </a:extLst>
        </xdr:cNvPr>
        <xdr:cNvSpPr/>
      </xdr:nvSpPr>
      <xdr:spPr>
        <a:xfrm>
          <a:off x="291352" y="5726205"/>
          <a:ext cx="2061883" cy="257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ANDRÉ OLIVEIRA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🖥️</a:t>
          </a:r>
          <a:endParaRPr lang="pt-BR" sz="1100"/>
        </a:p>
      </xdr:txBody>
    </xdr:sp>
    <xdr:clientData/>
  </xdr:twoCellAnchor>
  <xdr:twoCellAnchor>
    <xdr:from>
      <xdr:col>0</xdr:col>
      <xdr:colOff>224118</xdr:colOff>
      <xdr:row>27</xdr:row>
      <xdr:rowOff>168088</xdr:rowOff>
    </xdr:from>
    <xdr:to>
      <xdr:col>0</xdr:col>
      <xdr:colOff>2353236</xdr:colOff>
      <xdr:row>27</xdr:row>
      <xdr:rowOff>168088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4F1B3E47-DB93-242B-8FC8-02595E9B2838}"/>
            </a:ext>
          </a:extLst>
        </xdr:cNvPr>
        <xdr:cNvCxnSpPr/>
      </xdr:nvCxnSpPr>
      <xdr:spPr>
        <a:xfrm>
          <a:off x="224118" y="5502088"/>
          <a:ext cx="212911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1016000</xdr:colOff>
      <xdr:row>31</xdr:row>
      <xdr:rowOff>0</xdr:rowOff>
    </xdr:from>
    <xdr:to>
      <xdr:col>0</xdr:col>
      <xdr:colOff>1397000</xdr:colOff>
      <xdr:row>33</xdr:row>
      <xdr:rowOff>0</xdr:rowOff>
    </xdr:to>
    <xdr:pic>
      <xdr:nvPicPr>
        <xdr:cNvPr id="14" name="icone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4D6910-4551-4AF7-9624-4CF770A6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6096000"/>
          <a:ext cx="381000" cy="381000"/>
        </a:xfrm>
        <a:prstGeom prst="rect">
          <a:avLst/>
        </a:prstGeom>
      </xdr:spPr>
    </xdr:pic>
    <xdr:clientData/>
  </xdr:twoCellAnchor>
  <xdr:twoCellAnchor editAs="absolute">
    <xdr:from>
      <xdr:col>3</xdr:col>
      <xdr:colOff>56030</xdr:colOff>
      <xdr:row>20</xdr:row>
      <xdr:rowOff>3922</xdr:rowOff>
    </xdr:from>
    <xdr:to>
      <xdr:col>4</xdr:col>
      <xdr:colOff>302559</xdr:colOff>
      <xdr:row>22</xdr:row>
      <xdr:rowOff>93569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35E5F1-61C6-4B3E-878A-20C39C62B44A}"/>
            </a:ext>
          </a:extLst>
        </xdr:cNvPr>
        <xdr:cNvSpPr/>
      </xdr:nvSpPr>
      <xdr:spPr>
        <a:xfrm>
          <a:off x="6129618" y="4471147"/>
          <a:ext cx="3227294" cy="470647"/>
        </a:xfrm>
        <a:prstGeom prst="roundRect">
          <a:avLst/>
        </a:prstGeom>
        <a:solidFill>
          <a:srgbClr val="001E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PRÓXIMO </a:t>
          </a:r>
        </a:p>
      </xdr:txBody>
    </xdr:sp>
    <xdr:clientData/>
  </xdr:twoCellAnchor>
  <xdr:twoCellAnchor>
    <xdr:from>
      <xdr:col>3</xdr:col>
      <xdr:colOff>2105025</xdr:colOff>
      <xdr:row>20</xdr:row>
      <xdr:rowOff>161925</xdr:rowOff>
    </xdr:from>
    <xdr:to>
      <xdr:col>3</xdr:col>
      <xdr:colOff>2571750</xdr:colOff>
      <xdr:row>21</xdr:row>
      <xdr:rowOff>133350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CFB405E7-EE38-58D1-07E8-4DE4036F7A5B}"/>
            </a:ext>
          </a:extLst>
        </xdr:cNvPr>
        <xdr:cNvSpPr/>
      </xdr:nvSpPr>
      <xdr:spPr>
        <a:xfrm>
          <a:off x="8191500" y="4581525"/>
          <a:ext cx="466725" cy="161925"/>
        </a:xfrm>
        <a:prstGeom prst="rightArrow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426384</xdr:colOff>
      <xdr:row>3</xdr:row>
      <xdr:rowOff>170037</xdr:rowOff>
    </xdr:from>
    <xdr:to>
      <xdr:col>0</xdr:col>
      <xdr:colOff>2097741</xdr:colOff>
      <xdr:row>12</xdr:row>
      <xdr:rowOff>26041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6F33CF-28D9-4EA3-ACF9-314C5EEF3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84" y="988066"/>
          <a:ext cx="1671357" cy="167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</xdr:colOff>
      <xdr:row>0</xdr:row>
      <xdr:rowOff>123826</xdr:rowOff>
    </xdr:from>
    <xdr:to>
      <xdr:col>0</xdr:col>
      <xdr:colOff>2505075</xdr:colOff>
      <xdr:row>3</xdr:row>
      <xdr:rowOff>140635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F3375DF-F27B-4E8B-97CB-06F12E205F43}"/>
            </a:ext>
          </a:extLst>
        </xdr:cNvPr>
        <xdr:cNvSpPr/>
      </xdr:nvSpPr>
      <xdr:spPr>
        <a:xfrm>
          <a:off x="19050" y="123826"/>
          <a:ext cx="2486025" cy="834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aseline="0">
              <a:gradFill>
                <a:gsLst>
                  <a:gs pos="60000">
                    <a:schemeClr val="accent1">
                      <a:lumMod val="5000"/>
                      <a:lumOff val="95000"/>
                    </a:schemeClr>
                  </a:gs>
                  <a:gs pos="19000">
                    <a:schemeClr val="accent1">
                      <a:lumMod val="45000"/>
                      <a:lumOff val="55000"/>
                    </a:schemeClr>
                  </a:gs>
                  <a:gs pos="9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LEÃO APP</a:t>
          </a:r>
          <a:endParaRPr lang="pt-BR" sz="2800">
            <a:gradFill>
              <a:gsLst>
                <a:gs pos="60000">
                  <a:schemeClr val="accent1">
                    <a:lumMod val="5000"/>
                    <a:lumOff val="95000"/>
                  </a:schemeClr>
                </a:gs>
                <a:gs pos="19000">
                  <a:schemeClr val="accent1">
                    <a:lumMod val="45000"/>
                    <a:lumOff val="55000"/>
                  </a:schemeClr>
                </a:gs>
                <a:gs pos="93000">
                  <a:schemeClr val="tx2">
                    <a:lumMod val="75000"/>
                    <a:lumOff val="2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169489</xdr:colOff>
      <xdr:row>13</xdr:row>
      <xdr:rowOff>112060</xdr:rowOff>
    </xdr:from>
    <xdr:to>
      <xdr:col>0</xdr:col>
      <xdr:colOff>2365489</xdr:colOff>
      <xdr:row>16</xdr:row>
      <xdr:rowOff>94148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9143D0-9DE4-40D6-8D03-46536D2C3CB0}"/>
            </a:ext>
          </a:extLst>
        </xdr:cNvPr>
        <xdr:cNvSpPr/>
      </xdr:nvSpPr>
      <xdr:spPr>
        <a:xfrm>
          <a:off x="169489" y="2958354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214312</xdr:colOff>
      <xdr:row>21</xdr:row>
      <xdr:rowOff>123265</xdr:rowOff>
    </xdr:from>
    <xdr:to>
      <xdr:col>0</xdr:col>
      <xdr:colOff>2410312</xdr:colOff>
      <xdr:row>24</xdr:row>
      <xdr:rowOff>82941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2B01C3-50B6-4E00-BBE5-A56C12A49060}"/>
            </a:ext>
          </a:extLst>
        </xdr:cNvPr>
        <xdr:cNvSpPr/>
      </xdr:nvSpPr>
      <xdr:spPr>
        <a:xfrm>
          <a:off x="214312" y="4583206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	</a:t>
          </a:r>
        </a:p>
      </xdr:txBody>
    </xdr:sp>
    <xdr:clientData/>
  </xdr:twoCellAnchor>
  <xdr:twoCellAnchor editAs="absolute">
    <xdr:from>
      <xdr:col>0</xdr:col>
      <xdr:colOff>184054</xdr:colOff>
      <xdr:row>17</xdr:row>
      <xdr:rowOff>107576</xdr:rowOff>
    </xdr:from>
    <xdr:to>
      <xdr:col>0</xdr:col>
      <xdr:colOff>2380054</xdr:colOff>
      <xdr:row>20</xdr:row>
      <xdr:rowOff>89665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F476976-838A-4B86-B307-86C652D6CF35}"/>
            </a:ext>
          </a:extLst>
        </xdr:cNvPr>
        <xdr:cNvSpPr/>
      </xdr:nvSpPr>
      <xdr:spPr>
        <a:xfrm>
          <a:off x="184054" y="3760694"/>
          <a:ext cx="2196000" cy="576000"/>
        </a:xfrm>
        <a:prstGeom prst="roundRect">
          <a:avLst>
            <a:gd name="adj" fmla="val 50000"/>
          </a:avLst>
        </a:prstGeom>
        <a:gradFill>
          <a:gsLst>
            <a:gs pos="31000">
              <a:schemeClr val="accent1">
                <a:lumMod val="45000"/>
                <a:lumOff val="55000"/>
              </a:schemeClr>
            </a:gs>
            <a:gs pos="77000">
              <a:schemeClr val="tx2">
                <a:alpha val="82000"/>
                <a:lumMod val="90000"/>
                <a:lumOff val="1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291352</xdr:colOff>
      <xdr:row>29</xdr:row>
      <xdr:rowOff>11205</xdr:rowOff>
    </xdr:from>
    <xdr:to>
      <xdr:col>0</xdr:col>
      <xdr:colOff>2353235</xdr:colOff>
      <xdr:row>30</xdr:row>
      <xdr:rowOff>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91B95B2-3760-4F8E-96F5-97FEF04C2609}"/>
            </a:ext>
          </a:extLst>
        </xdr:cNvPr>
        <xdr:cNvSpPr/>
      </xdr:nvSpPr>
      <xdr:spPr>
        <a:xfrm>
          <a:off x="291352" y="5726205"/>
          <a:ext cx="2061883" cy="257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ANDRÉ OLIVEIRA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🖥️</a:t>
          </a:r>
          <a:endParaRPr lang="pt-BR" sz="1100"/>
        </a:p>
      </xdr:txBody>
    </xdr:sp>
    <xdr:clientData/>
  </xdr:twoCellAnchor>
  <xdr:twoCellAnchor>
    <xdr:from>
      <xdr:col>0</xdr:col>
      <xdr:colOff>224118</xdr:colOff>
      <xdr:row>27</xdr:row>
      <xdr:rowOff>168088</xdr:rowOff>
    </xdr:from>
    <xdr:to>
      <xdr:col>0</xdr:col>
      <xdr:colOff>2353236</xdr:colOff>
      <xdr:row>27</xdr:row>
      <xdr:rowOff>168088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C45DDC2-7D2D-4A48-88CD-ED2FBA05FF02}"/>
            </a:ext>
          </a:extLst>
        </xdr:cNvPr>
        <xdr:cNvCxnSpPr/>
      </xdr:nvCxnSpPr>
      <xdr:spPr>
        <a:xfrm>
          <a:off x="224118" y="5502088"/>
          <a:ext cx="212911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76200</xdr:rowOff>
    </xdr:to>
    <xdr:sp macro="" textlink="">
      <xdr:nvSpPr>
        <xdr:cNvPr id="2049" name="AutoShape 1" descr="Resultado de imagem para LIKEDIN ICONE">
          <a:extLst>
            <a:ext uri="{FF2B5EF4-FFF2-40B4-BE49-F238E27FC236}">
              <a16:creationId xmlns:a16="http://schemas.microsoft.com/office/drawing/2014/main" id="{CA070F4B-0218-C683-A067-EE508AF9D336}"/>
            </a:ext>
          </a:extLst>
        </xdr:cNvPr>
        <xdr:cNvSpPr>
          <a:spLocks noChangeAspect="1" noChangeArrowheads="1"/>
        </xdr:cNvSpPr>
      </xdr:nvSpPr>
      <xdr:spPr bwMode="auto">
        <a:xfrm>
          <a:off x="3124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1019735</xdr:colOff>
      <xdr:row>31</xdr:row>
      <xdr:rowOff>123265</xdr:rowOff>
    </xdr:from>
    <xdr:to>
      <xdr:col>0</xdr:col>
      <xdr:colOff>1400735</xdr:colOff>
      <xdr:row>33</xdr:row>
      <xdr:rowOff>123265</xdr:rowOff>
    </xdr:to>
    <xdr:pic>
      <xdr:nvPicPr>
        <xdr:cNvPr id="14" name="Imagem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16388F-6053-7617-A1A2-2E853390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5" y="6219265"/>
          <a:ext cx="381000" cy="381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25</xdr:row>
      <xdr:rowOff>0</xdr:rowOff>
    </xdr:from>
    <xdr:to>
      <xdr:col>4</xdr:col>
      <xdr:colOff>247090</xdr:colOff>
      <xdr:row>27</xdr:row>
      <xdr:rowOff>89647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1BEC4F-1D69-411F-A44B-1C5BC74DFDF1}"/>
            </a:ext>
          </a:extLst>
        </xdr:cNvPr>
        <xdr:cNvSpPr/>
      </xdr:nvSpPr>
      <xdr:spPr>
        <a:xfrm>
          <a:off x="6219265" y="5266765"/>
          <a:ext cx="3227854" cy="470647"/>
        </a:xfrm>
        <a:prstGeom prst="roundRect">
          <a:avLst/>
        </a:prstGeom>
        <a:solidFill>
          <a:srgbClr val="001E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PRÓXIMO</a:t>
          </a:r>
        </a:p>
      </xdr:txBody>
    </xdr:sp>
    <xdr:clientData/>
  </xdr:twoCellAnchor>
  <xdr:twoCellAnchor editAs="absolute">
    <xdr:from>
      <xdr:col>1</xdr:col>
      <xdr:colOff>392205</xdr:colOff>
      <xdr:row>25</xdr:row>
      <xdr:rowOff>0</xdr:rowOff>
    </xdr:from>
    <xdr:to>
      <xdr:col>2</xdr:col>
      <xdr:colOff>3014942</xdr:colOff>
      <xdr:row>27</xdr:row>
      <xdr:rowOff>89647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97A082-7F24-4802-90B3-984B83E8082B}"/>
            </a:ext>
          </a:extLst>
        </xdr:cNvPr>
        <xdr:cNvSpPr/>
      </xdr:nvSpPr>
      <xdr:spPr>
        <a:xfrm>
          <a:off x="2902323" y="5266765"/>
          <a:ext cx="3227854" cy="470647"/>
        </a:xfrm>
        <a:prstGeom prst="roundRect">
          <a:avLst/>
        </a:prstGeom>
        <a:solidFill>
          <a:srgbClr val="001E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ANTERIOR	</a:t>
          </a:r>
        </a:p>
      </xdr:txBody>
    </xdr:sp>
    <xdr:clientData/>
  </xdr:twoCellAnchor>
  <xdr:twoCellAnchor>
    <xdr:from>
      <xdr:col>3</xdr:col>
      <xdr:colOff>2084294</xdr:colOff>
      <xdr:row>25</xdr:row>
      <xdr:rowOff>156883</xdr:rowOff>
    </xdr:from>
    <xdr:to>
      <xdr:col>3</xdr:col>
      <xdr:colOff>2551019</xdr:colOff>
      <xdr:row>26</xdr:row>
      <xdr:rowOff>128308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DCCC90DB-1741-411D-A170-27F1D27A832A}"/>
            </a:ext>
          </a:extLst>
        </xdr:cNvPr>
        <xdr:cNvSpPr/>
      </xdr:nvSpPr>
      <xdr:spPr>
        <a:xfrm>
          <a:off x="8303559" y="5423648"/>
          <a:ext cx="466725" cy="161925"/>
        </a:xfrm>
        <a:prstGeom prst="rightArrow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376518</xdr:colOff>
      <xdr:row>25</xdr:row>
      <xdr:rowOff>163606</xdr:rowOff>
    </xdr:from>
    <xdr:to>
      <xdr:col>2</xdr:col>
      <xdr:colOff>843243</xdr:colOff>
      <xdr:row>26</xdr:row>
      <xdr:rowOff>135031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5F8E8E07-A3BB-4234-8757-85D857C439E4}"/>
            </a:ext>
          </a:extLst>
        </xdr:cNvPr>
        <xdr:cNvSpPr/>
      </xdr:nvSpPr>
      <xdr:spPr>
        <a:xfrm rot="10800000">
          <a:off x="3491753" y="5430371"/>
          <a:ext cx="466725" cy="161925"/>
        </a:xfrm>
        <a:prstGeom prst="rightArrow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426384</xdr:colOff>
      <xdr:row>3</xdr:row>
      <xdr:rowOff>170037</xdr:rowOff>
    </xdr:from>
    <xdr:to>
      <xdr:col>0</xdr:col>
      <xdr:colOff>2097741</xdr:colOff>
      <xdr:row>12</xdr:row>
      <xdr:rowOff>48452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B63EB5-12E3-4AFD-9A6A-5A435009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384" y="988066"/>
          <a:ext cx="1671357" cy="167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19050</xdr:colOff>
      <xdr:row>0</xdr:row>
      <xdr:rowOff>123826</xdr:rowOff>
    </xdr:from>
    <xdr:to>
      <xdr:col>0</xdr:col>
      <xdr:colOff>2505075</xdr:colOff>
      <xdr:row>3</xdr:row>
      <xdr:rowOff>140635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9973F29-E339-445E-AF4A-D17BFB3474F2}"/>
            </a:ext>
          </a:extLst>
        </xdr:cNvPr>
        <xdr:cNvSpPr/>
      </xdr:nvSpPr>
      <xdr:spPr>
        <a:xfrm>
          <a:off x="19050" y="123826"/>
          <a:ext cx="2486025" cy="834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aseline="0">
              <a:gradFill>
                <a:gsLst>
                  <a:gs pos="60000">
                    <a:schemeClr val="accent1">
                      <a:lumMod val="5000"/>
                      <a:lumOff val="95000"/>
                    </a:schemeClr>
                  </a:gs>
                  <a:gs pos="19000">
                    <a:schemeClr val="accent1">
                      <a:lumMod val="45000"/>
                      <a:lumOff val="55000"/>
                    </a:schemeClr>
                  </a:gs>
                  <a:gs pos="9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LEÃO APP</a:t>
          </a:r>
          <a:endParaRPr lang="pt-BR" sz="2800">
            <a:gradFill>
              <a:gsLst>
                <a:gs pos="60000">
                  <a:schemeClr val="accent1">
                    <a:lumMod val="5000"/>
                    <a:lumOff val="95000"/>
                  </a:schemeClr>
                </a:gs>
                <a:gs pos="19000">
                  <a:schemeClr val="accent1">
                    <a:lumMod val="45000"/>
                    <a:lumOff val="55000"/>
                  </a:schemeClr>
                </a:gs>
                <a:gs pos="93000">
                  <a:schemeClr val="tx2">
                    <a:lumMod val="75000"/>
                    <a:lumOff val="2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169489</xdr:colOff>
      <xdr:row>13</xdr:row>
      <xdr:rowOff>156883</xdr:rowOff>
    </xdr:from>
    <xdr:to>
      <xdr:col>0</xdr:col>
      <xdr:colOff>2365489</xdr:colOff>
      <xdr:row>16</xdr:row>
      <xdr:rowOff>161383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579343-2B24-46DD-8395-E212C5A183CD}"/>
            </a:ext>
          </a:extLst>
        </xdr:cNvPr>
        <xdr:cNvSpPr/>
      </xdr:nvSpPr>
      <xdr:spPr>
        <a:xfrm>
          <a:off x="169489" y="2958354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214312</xdr:colOff>
      <xdr:row>22</xdr:row>
      <xdr:rowOff>67235</xdr:rowOff>
    </xdr:from>
    <xdr:to>
      <xdr:col>0</xdr:col>
      <xdr:colOff>2410312</xdr:colOff>
      <xdr:row>25</xdr:row>
      <xdr:rowOff>71735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62CC636-8A31-4E84-952F-2628C1D5CE90}"/>
            </a:ext>
          </a:extLst>
        </xdr:cNvPr>
        <xdr:cNvSpPr/>
      </xdr:nvSpPr>
      <xdr:spPr>
        <a:xfrm>
          <a:off x="214312" y="4583206"/>
          <a:ext cx="2196000" cy="576000"/>
        </a:xfrm>
        <a:prstGeom prst="roundRect">
          <a:avLst>
            <a:gd name="adj" fmla="val 50000"/>
          </a:avLst>
        </a:prstGeom>
        <a:gradFill>
          <a:gsLst>
            <a:gs pos="31000">
              <a:schemeClr val="accent1">
                <a:lumMod val="45000"/>
                <a:lumOff val="55000"/>
              </a:schemeClr>
            </a:gs>
            <a:gs pos="77000">
              <a:schemeClr val="tx2">
                <a:alpha val="82000"/>
                <a:lumMod val="90000"/>
                <a:lumOff val="10000"/>
              </a:scheme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NOTAS	</a:t>
          </a:r>
        </a:p>
      </xdr:txBody>
    </xdr:sp>
    <xdr:clientData/>
  </xdr:twoCellAnchor>
  <xdr:twoCellAnchor editAs="absolute">
    <xdr:from>
      <xdr:col>0</xdr:col>
      <xdr:colOff>184054</xdr:colOff>
      <xdr:row>18</xdr:row>
      <xdr:rowOff>6723</xdr:rowOff>
    </xdr:from>
    <xdr:to>
      <xdr:col>0</xdr:col>
      <xdr:colOff>2380054</xdr:colOff>
      <xdr:row>21</xdr:row>
      <xdr:rowOff>11223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DB6E72-9E82-4593-A5D3-3A3FE7786D32}"/>
            </a:ext>
          </a:extLst>
        </xdr:cNvPr>
        <xdr:cNvSpPr/>
      </xdr:nvSpPr>
      <xdr:spPr>
        <a:xfrm>
          <a:off x="184054" y="3760694"/>
          <a:ext cx="2196000" cy="576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291352</xdr:colOff>
      <xdr:row>29</xdr:row>
      <xdr:rowOff>11205</xdr:rowOff>
    </xdr:from>
    <xdr:to>
      <xdr:col>0</xdr:col>
      <xdr:colOff>2353235</xdr:colOff>
      <xdr:row>30</xdr:row>
      <xdr:rowOff>78440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0EFE245-0859-4F49-B266-FB742DB56B34}"/>
            </a:ext>
          </a:extLst>
        </xdr:cNvPr>
        <xdr:cNvSpPr/>
      </xdr:nvSpPr>
      <xdr:spPr>
        <a:xfrm>
          <a:off x="291352" y="5726205"/>
          <a:ext cx="2061883" cy="257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ANDRÉ OLIVEIRA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🖥️</a:t>
          </a:r>
          <a:endParaRPr lang="pt-BR" sz="1100"/>
        </a:p>
      </xdr:txBody>
    </xdr:sp>
    <xdr:clientData/>
  </xdr:twoCellAnchor>
  <xdr:twoCellAnchor editAs="absolute">
    <xdr:from>
      <xdr:col>0</xdr:col>
      <xdr:colOff>224118</xdr:colOff>
      <xdr:row>29</xdr:row>
      <xdr:rowOff>33617</xdr:rowOff>
    </xdr:from>
    <xdr:to>
      <xdr:col>0</xdr:col>
      <xdr:colOff>2353236</xdr:colOff>
      <xdr:row>29</xdr:row>
      <xdr:rowOff>33617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6EA47B2-B1E5-4102-B219-C21A0CED2CAD}"/>
            </a:ext>
          </a:extLst>
        </xdr:cNvPr>
        <xdr:cNvCxnSpPr/>
      </xdr:nvCxnSpPr>
      <xdr:spPr>
        <a:xfrm>
          <a:off x="224118" y="5502088"/>
          <a:ext cx="212911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1030942</xdr:colOff>
      <xdr:row>31</xdr:row>
      <xdr:rowOff>89647</xdr:rowOff>
    </xdr:from>
    <xdr:to>
      <xdr:col>0</xdr:col>
      <xdr:colOff>1411942</xdr:colOff>
      <xdr:row>33</xdr:row>
      <xdr:rowOff>89647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66E287-2EBD-4117-AC93-26382C388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942" y="6185647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76200</xdr:rowOff>
    </xdr:to>
    <xdr:sp macro="" textlink="">
      <xdr:nvSpPr>
        <xdr:cNvPr id="10" name="AutoShape 1" descr="Resultado de imagem para LIKEDIN ICONE">
          <a:extLst>
            <a:ext uri="{FF2B5EF4-FFF2-40B4-BE49-F238E27FC236}">
              <a16:creationId xmlns:a16="http://schemas.microsoft.com/office/drawing/2014/main" id="{D0B0A414-7B79-4696-8F5C-DC639D08BF4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605116</xdr:colOff>
      <xdr:row>4</xdr:row>
      <xdr:rowOff>44824</xdr:rowOff>
    </xdr:from>
    <xdr:to>
      <xdr:col>3</xdr:col>
      <xdr:colOff>672353</xdr:colOff>
      <xdr:row>5</xdr:row>
      <xdr:rowOff>44823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69DE73-31C9-45AF-8346-499B51672221}"/>
            </a:ext>
          </a:extLst>
        </xdr:cNvPr>
        <xdr:cNvSpPr/>
      </xdr:nvSpPr>
      <xdr:spPr>
        <a:xfrm>
          <a:off x="3115234" y="1064559"/>
          <a:ext cx="1972237" cy="190499"/>
        </a:xfrm>
        <a:prstGeom prst="roundRect">
          <a:avLst/>
        </a:prstGeom>
        <a:solidFill>
          <a:srgbClr val="001E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ANTERIOR	</a:t>
          </a:r>
        </a:p>
      </xdr:txBody>
    </xdr:sp>
    <xdr:clientData/>
  </xdr:twoCellAnchor>
  <xdr:twoCellAnchor>
    <xdr:from>
      <xdr:col>2</xdr:col>
      <xdr:colOff>156883</xdr:colOff>
      <xdr:row>4</xdr:row>
      <xdr:rowOff>67236</xdr:rowOff>
    </xdr:from>
    <xdr:to>
      <xdr:col>2</xdr:col>
      <xdr:colOff>504265</xdr:colOff>
      <xdr:row>5</xdr:row>
      <xdr:rowOff>11206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31792C16-DFAC-42E5-B083-AE8275277B51}"/>
            </a:ext>
          </a:extLst>
        </xdr:cNvPr>
        <xdr:cNvSpPr/>
      </xdr:nvSpPr>
      <xdr:spPr>
        <a:xfrm rot="10800000">
          <a:off x="3272118" y="1086971"/>
          <a:ext cx="347382" cy="134470"/>
        </a:xfrm>
        <a:prstGeom prst="rightArrow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06D3E-9CC7-4EC3-9568-DC811A3F0EDF}" name="Tabela2" displayName="Tabela2" ref="C10:E34" totalsRowShown="0" headerRowDxfId="4" dataDxfId="0">
  <autoFilter ref="C10:E34" xr:uid="{20406D3E-9CC7-4EC3-9568-DC811A3F0EDF}"/>
  <tableColumns count="3">
    <tableColumn id="1" xr3:uid="{A2404B44-F981-4A26-9581-133EA56FB452}" name="DATA" dataDxfId="3"/>
    <tableColumn id="2" xr3:uid="{9CD0489E-017B-4071-BC02-F2D854AFAD13}" name="CATEGORIA" dataDxfId="2"/>
    <tableColumn id="3" xr3:uid="{1BE5E3CA-3277-4C86-9EBF-8C4D140F2A76}" name="VALOR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D582-057A-49DA-8507-95683A5C341A}">
  <sheetPr codeName="Planilha1"/>
  <dimension ref="A1:E19"/>
  <sheetViews>
    <sheetView showGridLines="0" showRowColHeaders="0" tabSelected="1" zoomScaleNormal="100" workbookViewId="0">
      <selection activeCell="D2" sqref="D2"/>
    </sheetView>
  </sheetViews>
  <sheetFormatPr defaultRowHeight="15" x14ac:dyDescent="0.25"/>
  <cols>
    <col min="1" max="1" width="37.7109375" style="1" customWidth="1"/>
    <col min="3" max="3" width="44.42578125" customWidth="1"/>
    <col min="4" max="4" width="44.7109375" bestFit="1" customWidth="1"/>
  </cols>
  <sheetData>
    <row r="1" spans="1:5" ht="24.75" thickBot="1" x14ac:dyDescent="0.3">
      <c r="D1" s="13" t="s">
        <v>82</v>
      </c>
    </row>
    <row r="2" spans="1:5" ht="21.75" customHeight="1" thickTop="1" x14ac:dyDescent="0.35">
      <c r="A2" s="2"/>
      <c r="D2" s="31">
        <v>2025</v>
      </c>
    </row>
    <row r="3" spans="1:5" ht="24.75" thickBot="1" x14ac:dyDescent="0.5">
      <c r="A3" s="2"/>
      <c r="C3" s="4" t="s">
        <v>14</v>
      </c>
      <c r="D3" s="3"/>
      <c r="E3" s="3"/>
    </row>
    <row r="4" spans="1:5" ht="15.75" thickTop="1" x14ac:dyDescent="0.25">
      <c r="C4" s="7" t="s">
        <v>22</v>
      </c>
      <c r="D4" s="7"/>
      <c r="E4" s="7"/>
    </row>
    <row r="6" spans="1:5" ht="16.5" x14ac:dyDescent="0.3">
      <c r="C6" s="5" t="s">
        <v>0</v>
      </c>
      <c r="D6" s="17" t="s">
        <v>15</v>
      </c>
    </row>
    <row r="7" spans="1:5" ht="16.5" x14ac:dyDescent="0.3">
      <c r="C7" s="5" t="s">
        <v>1</v>
      </c>
      <c r="D7" s="18">
        <v>45269806470</v>
      </c>
    </row>
    <row r="8" spans="1:5" ht="16.5" x14ac:dyDescent="0.3">
      <c r="C8" s="5" t="s">
        <v>2</v>
      </c>
      <c r="D8" s="19">
        <v>29433</v>
      </c>
    </row>
    <row r="9" spans="1:5" ht="16.5" x14ac:dyDescent="0.3">
      <c r="C9" s="5" t="s">
        <v>3</v>
      </c>
      <c r="D9" s="20">
        <v>338589659</v>
      </c>
    </row>
    <row r="10" spans="1:5" ht="16.5" x14ac:dyDescent="0.3">
      <c r="C10" s="5" t="s">
        <v>4</v>
      </c>
      <c r="D10" s="17" t="s">
        <v>16</v>
      </c>
    </row>
    <row r="11" spans="1:5" ht="16.5" x14ac:dyDescent="0.3">
      <c r="C11" s="5" t="s">
        <v>5</v>
      </c>
      <c r="D11" s="17" t="s">
        <v>21</v>
      </c>
    </row>
    <row r="12" spans="1:5" ht="16.5" x14ac:dyDescent="0.3">
      <c r="C12" s="5" t="s">
        <v>6</v>
      </c>
      <c r="D12" s="17" t="s">
        <v>17</v>
      </c>
    </row>
    <row r="13" spans="1:5" ht="16.5" x14ac:dyDescent="0.3">
      <c r="C13" s="5" t="s">
        <v>7</v>
      </c>
      <c r="D13" s="21">
        <v>52120000</v>
      </c>
    </row>
    <row r="14" spans="1:5" ht="16.5" x14ac:dyDescent="0.3">
      <c r="C14" s="5" t="s">
        <v>8</v>
      </c>
      <c r="D14" s="22">
        <v>813366958</v>
      </c>
    </row>
    <row r="15" spans="1:5" ht="16.5" x14ac:dyDescent="0.3">
      <c r="C15" s="5" t="s">
        <v>9</v>
      </c>
      <c r="D15" s="23">
        <v>81996885632</v>
      </c>
    </row>
    <row r="16" spans="1:5" ht="16.5" x14ac:dyDescent="0.3">
      <c r="C16" s="5" t="s">
        <v>10</v>
      </c>
      <c r="D16" s="17" t="s">
        <v>18</v>
      </c>
    </row>
    <row r="17" spans="3:4" ht="16.5" x14ac:dyDescent="0.3">
      <c r="C17" s="5" t="s">
        <v>11</v>
      </c>
      <c r="D17" s="24" t="s">
        <v>19</v>
      </c>
    </row>
    <row r="18" spans="3:4" ht="16.5" x14ac:dyDescent="0.3">
      <c r="C18" s="5" t="s">
        <v>12</v>
      </c>
      <c r="D18" s="24" t="s">
        <v>19</v>
      </c>
    </row>
    <row r="19" spans="3:4" ht="16.5" x14ac:dyDescent="0.3">
      <c r="C19" s="5" t="s">
        <v>13</v>
      </c>
      <c r="D19" s="24" t="s">
        <v>20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164D93AB-A334-4E2C-8095-C866313F7C32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5FF-A214-451B-A1EF-1658FBD6DF20}">
  <sheetPr codeName="Planilha2"/>
  <dimension ref="A1:E23"/>
  <sheetViews>
    <sheetView showGridLines="0" showRowColHeaders="0" topLeftCell="A3" zoomScale="85" zoomScaleNormal="85" workbookViewId="0">
      <selection activeCell="D13" sqref="D13"/>
    </sheetView>
  </sheetViews>
  <sheetFormatPr defaultRowHeight="15" x14ac:dyDescent="0.25"/>
  <cols>
    <col min="1" max="1" width="37.7109375" style="1" customWidth="1"/>
    <col min="3" max="3" width="46.5703125" bestFit="1" customWidth="1"/>
    <col min="4" max="4" width="44.7109375" customWidth="1"/>
  </cols>
  <sheetData>
    <row r="1" spans="1:5" ht="18" customHeight="1" thickBot="1" x14ac:dyDescent="0.3">
      <c r="D1" s="13" t="s">
        <v>82</v>
      </c>
    </row>
    <row r="2" spans="1:5" ht="21.75" customHeight="1" thickTop="1" x14ac:dyDescent="0.35">
      <c r="A2" s="2"/>
      <c r="D2" s="12">
        <f>Titular!$D$2</f>
        <v>2025</v>
      </c>
    </row>
    <row r="3" spans="1:5" ht="24.75" customHeight="1" thickBot="1" x14ac:dyDescent="0.5">
      <c r="A3" s="2"/>
      <c r="C3" s="4" t="s">
        <v>23</v>
      </c>
      <c r="D3" s="3"/>
      <c r="E3" s="3"/>
    </row>
    <row r="4" spans="1:5" ht="15.75" thickTop="1" x14ac:dyDescent="0.25">
      <c r="C4" s="7" t="str">
        <f>"Preencha os saldos das contas bancárias em 31/12/"&amp;Titular!$D$2</f>
        <v>Preencha os saldos das contas bancárias em 31/12/2025</v>
      </c>
      <c r="D4" s="7"/>
      <c r="E4" s="7"/>
    </row>
    <row r="7" spans="1:5" ht="17.25" thickBot="1" x14ac:dyDescent="0.35">
      <c r="C7" s="11" t="s">
        <v>81</v>
      </c>
    </row>
    <row r="8" spans="1:5" ht="15.75" thickTop="1" x14ac:dyDescent="0.25">
      <c r="C8" s="9">
        <f>SUM(D12,D17,D22)</f>
        <v>12726</v>
      </c>
      <c r="D8" s="10"/>
      <c r="E8" s="10"/>
    </row>
    <row r="10" spans="1:5" x14ac:dyDescent="0.25">
      <c r="C10" s="8" t="s">
        <v>78</v>
      </c>
    </row>
    <row r="11" spans="1:5" ht="16.5" x14ac:dyDescent="0.3">
      <c r="C11" s="5" t="s">
        <v>74</v>
      </c>
      <c r="D11" s="17" t="s">
        <v>77</v>
      </c>
    </row>
    <row r="12" spans="1:5" ht="16.5" x14ac:dyDescent="0.3">
      <c r="C12" s="5" t="s">
        <v>75</v>
      </c>
      <c r="D12" s="25">
        <v>500</v>
      </c>
    </row>
    <row r="13" spans="1:5" ht="16.5" x14ac:dyDescent="0.3">
      <c r="C13" s="5" t="s">
        <v>76</v>
      </c>
      <c r="D13" s="32"/>
    </row>
    <row r="15" spans="1:5" x14ac:dyDescent="0.25">
      <c r="C15" s="8" t="s">
        <v>79</v>
      </c>
    </row>
    <row r="16" spans="1:5" ht="16.5" x14ac:dyDescent="0.3">
      <c r="C16" s="5" t="s">
        <v>74</v>
      </c>
      <c r="D16" s="17" t="s">
        <v>28</v>
      </c>
    </row>
    <row r="17" spans="3:4" ht="16.5" x14ac:dyDescent="0.3">
      <c r="C17" s="5" t="s">
        <v>75</v>
      </c>
      <c r="D17" s="25">
        <v>3568</v>
      </c>
    </row>
    <row r="18" spans="3:4" ht="16.5" x14ac:dyDescent="0.3">
      <c r="C18" s="5" t="s">
        <v>76</v>
      </c>
      <c r="D18" s="26"/>
    </row>
    <row r="20" spans="3:4" x14ac:dyDescent="0.25">
      <c r="C20" s="8" t="s">
        <v>80</v>
      </c>
    </row>
    <row r="21" spans="3:4" ht="16.5" x14ac:dyDescent="0.3">
      <c r="C21" s="5" t="s">
        <v>74</v>
      </c>
      <c r="D21" s="17" t="s">
        <v>42</v>
      </c>
    </row>
    <row r="22" spans="3:4" ht="16.5" x14ac:dyDescent="0.3">
      <c r="C22" s="5" t="s">
        <v>75</v>
      </c>
      <c r="D22" s="25">
        <v>8658</v>
      </c>
    </row>
    <row r="23" spans="3:4" ht="16.5" x14ac:dyDescent="0.3">
      <c r="C23" s="5" t="s">
        <v>76</v>
      </c>
      <c r="D23" s="26"/>
    </row>
  </sheetData>
  <sheetProtection sheet="1" objects="1" scenarios="1" selectLockedCells="1"/>
  <mergeCells count="2">
    <mergeCell ref="C4:E4"/>
    <mergeCell ref="C8:E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AEEA5F-6C99-4B1A-A84B-FFE17D186B8D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6F30-EF21-4A72-B151-EDA84B09F399}">
  <sheetPr codeName="Planilha3"/>
  <dimension ref="A1:E34"/>
  <sheetViews>
    <sheetView showGridLines="0" showRowColHeaders="0" zoomScale="85" zoomScaleNormal="85" workbookViewId="0">
      <selection activeCell="D14" sqref="D14"/>
    </sheetView>
  </sheetViews>
  <sheetFormatPr defaultRowHeight="15" x14ac:dyDescent="0.25"/>
  <cols>
    <col min="1" max="1" width="37.7109375" style="1" customWidth="1"/>
    <col min="3" max="3" width="19.42578125" customWidth="1"/>
    <col min="4" max="4" width="26.42578125" bestFit="1" customWidth="1"/>
    <col min="5" max="5" width="19.42578125" customWidth="1"/>
  </cols>
  <sheetData>
    <row r="1" spans="1:5" ht="18" customHeight="1" thickBot="1" x14ac:dyDescent="0.3">
      <c r="D1" s="13" t="s">
        <v>82</v>
      </c>
    </row>
    <row r="2" spans="1:5" ht="21.75" customHeight="1" thickTop="1" x14ac:dyDescent="0.35">
      <c r="A2" s="2"/>
      <c r="D2" s="12">
        <f>Titular!$D$2</f>
        <v>2025</v>
      </c>
    </row>
    <row r="3" spans="1:5" ht="24.75" thickBot="1" x14ac:dyDescent="0.5">
      <c r="A3" s="2"/>
      <c r="C3" s="4" t="s">
        <v>83</v>
      </c>
      <c r="D3" s="3"/>
      <c r="E3" s="3"/>
    </row>
    <row r="4" spans="1:5" ht="15.75" thickTop="1" x14ac:dyDescent="0.25">
      <c r="C4" s="7" t="str">
        <f>"Anexe os documentos de comprovação de entradas em "&amp;Titular!$D$2</f>
        <v>Anexe os documentos de comprovação de entradas em 2025</v>
      </c>
      <c r="D4" s="7"/>
      <c r="E4" s="7"/>
    </row>
    <row r="6" spans="1:5" ht="17.25" thickBot="1" x14ac:dyDescent="0.35">
      <c r="C6" s="11" t="s">
        <v>91</v>
      </c>
    </row>
    <row r="7" spans="1:5" ht="15.75" thickTop="1" x14ac:dyDescent="0.25">
      <c r="C7" s="9">
        <f>SUM(Tabela2[VALOR])</f>
        <v>5600</v>
      </c>
      <c r="D7" s="10"/>
      <c r="E7" s="10"/>
    </row>
    <row r="8" spans="1:5" ht="15.75" thickBot="1" x14ac:dyDescent="0.3"/>
    <row r="9" spans="1:5" ht="15.75" thickTop="1" x14ac:dyDescent="0.25">
      <c r="C9" s="15" t="s">
        <v>87</v>
      </c>
      <c r="D9" s="16"/>
      <c r="E9" s="16"/>
    </row>
    <row r="10" spans="1:5" x14ac:dyDescent="0.25">
      <c r="C10" s="14" t="s">
        <v>84</v>
      </c>
      <c r="D10" s="14" t="s">
        <v>85</v>
      </c>
      <c r="E10" s="14" t="s">
        <v>86</v>
      </c>
    </row>
    <row r="11" spans="1:5" x14ac:dyDescent="0.25">
      <c r="C11" s="27">
        <v>45962</v>
      </c>
      <c r="D11" s="28" t="s">
        <v>90</v>
      </c>
      <c r="E11" s="29">
        <v>1500</v>
      </c>
    </row>
    <row r="12" spans="1:5" x14ac:dyDescent="0.25">
      <c r="C12" s="27">
        <v>45963</v>
      </c>
      <c r="D12" s="28" t="s">
        <v>88</v>
      </c>
      <c r="E12" s="29">
        <v>3100</v>
      </c>
    </row>
    <row r="13" spans="1:5" x14ac:dyDescent="0.25">
      <c r="C13" s="27">
        <v>45964</v>
      </c>
      <c r="D13" s="28" t="s">
        <v>89</v>
      </c>
      <c r="E13" s="29">
        <v>1000</v>
      </c>
    </row>
    <row r="14" spans="1:5" x14ac:dyDescent="0.25">
      <c r="C14" s="30"/>
      <c r="D14" s="28"/>
      <c r="E14" s="29"/>
    </row>
    <row r="15" spans="1:5" x14ac:dyDescent="0.25">
      <c r="C15" s="30"/>
      <c r="D15" s="28"/>
      <c r="E15" s="29"/>
    </row>
    <row r="16" spans="1:5" x14ac:dyDescent="0.25">
      <c r="C16" s="30"/>
      <c r="D16" s="28"/>
      <c r="E16" s="29"/>
    </row>
    <row r="17" spans="3:5" x14ac:dyDescent="0.25">
      <c r="C17" s="30"/>
      <c r="D17" s="28"/>
      <c r="E17" s="29"/>
    </row>
    <row r="18" spans="3:5" x14ac:dyDescent="0.25">
      <c r="C18" s="30"/>
      <c r="D18" s="28"/>
      <c r="E18" s="29"/>
    </row>
    <row r="19" spans="3:5" x14ac:dyDescent="0.25">
      <c r="C19" s="30"/>
      <c r="D19" s="28"/>
      <c r="E19" s="29"/>
    </row>
    <row r="20" spans="3:5" x14ac:dyDescent="0.25">
      <c r="C20" s="30"/>
      <c r="D20" s="28"/>
      <c r="E20" s="29"/>
    </row>
    <row r="21" spans="3:5" x14ac:dyDescent="0.25">
      <c r="C21" s="30"/>
      <c r="D21" s="28"/>
      <c r="E21" s="29"/>
    </row>
    <row r="22" spans="3:5" x14ac:dyDescent="0.25">
      <c r="C22" s="30"/>
      <c r="D22" s="28"/>
      <c r="E22" s="29"/>
    </row>
    <row r="23" spans="3:5" x14ac:dyDescent="0.25">
      <c r="C23" s="30"/>
      <c r="D23" s="28"/>
      <c r="E23" s="29"/>
    </row>
    <row r="24" spans="3:5" x14ac:dyDescent="0.25">
      <c r="C24" s="30"/>
      <c r="D24" s="28"/>
      <c r="E24" s="29"/>
    </row>
    <row r="25" spans="3:5" x14ac:dyDescent="0.25">
      <c r="C25" s="30"/>
      <c r="D25" s="28"/>
      <c r="E25" s="29"/>
    </row>
    <row r="26" spans="3:5" x14ac:dyDescent="0.25">
      <c r="C26" s="30"/>
      <c r="D26" s="28"/>
      <c r="E26" s="29"/>
    </row>
    <row r="27" spans="3:5" x14ac:dyDescent="0.25">
      <c r="C27" s="30"/>
      <c r="D27" s="28"/>
      <c r="E27" s="29"/>
    </row>
    <row r="28" spans="3:5" x14ac:dyDescent="0.25">
      <c r="C28" s="30"/>
      <c r="D28" s="28"/>
      <c r="E28" s="29"/>
    </row>
    <row r="29" spans="3:5" x14ac:dyDescent="0.25">
      <c r="C29" s="30"/>
      <c r="D29" s="28"/>
      <c r="E29" s="29"/>
    </row>
    <row r="30" spans="3:5" x14ac:dyDescent="0.25">
      <c r="C30" s="30"/>
      <c r="D30" s="28"/>
      <c r="E30" s="29"/>
    </row>
    <row r="31" spans="3:5" x14ac:dyDescent="0.25">
      <c r="C31" s="30"/>
      <c r="D31" s="28"/>
      <c r="E31" s="29"/>
    </row>
    <row r="32" spans="3:5" x14ac:dyDescent="0.25">
      <c r="C32" s="30"/>
      <c r="D32" s="28"/>
      <c r="E32" s="29"/>
    </row>
    <row r="33" spans="3:5" x14ac:dyDescent="0.25">
      <c r="C33" s="30"/>
      <c r="D33" s="28"/>
      <c r="E33" s="29"/>
    </row>
    <row r="34" spans="3:5" x14ac:dyDescent="0.25">
      <c r="C34" s="30"/>
      <c r="D34" s="28"/>
      <c r="E34" s="29"/>
    </row>
  </sheetData>
  <sheetProtection sheet="1" objects="1" scenarios="1" selectLockedCells="1"/>
  <mergeCells count="3">
    <mergeCell ref="C4:E4"/>
    <mergeCell ref="C9:E9"/>
    <mergeCell ref="C7:E7"/>
  </mergeCells>
  <dataValidations count="1">
    <dataValidation type="list" allowBlank="1" showInputMessage="1" showErrorMessage="1" sqref="D11:D34" xr:uid="{E8D59845-4597-4935-B3F7-E91E2044BEF8}">
      <formula1>"HOLERITE(CONTRA-CHEQUE), NOTA FISCAL DE SERVIÇO, RECIBO"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4FBB-ABAD-4ED6-9A51-8B518C2FC656}">
  <dimension ref="A1:A51"/>
  <sheetViews>
    <sheetView workbookViewId="0">
      <selection activeCell="F12" sqref="F12"/>
    </sheetView>
  </sheetViews>
  <sheetFormatPr defaultRowHeight="15" x14ac:dyDescent="0.25"/>
  <cols>
    <col min="1" max="1" width="39" bestFit="1" customWidth="1"/>
  </cols>
  <sheetData>
    <row r="1" spans="1:1" x14ac:dyDescent="0.25">
      <c r="A1" s="6" t="s">
        <v>24</v>
      </c>
    </row>
    <row r="2" spans="1:1" x14ac:dyDescent="0.25">
      <c r="A2" t="s">
        <v>77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Oliveira</dc:creator>
  <cp:lastModifiedBy>Andre Oliveira</cp:lastModifiedBy>
  <dcterms:created xsi:type="dcterms:W3CDTF">2025-11-01T18:05:26Z</dcterms:created>
  <dcterms:modified xsi:type="dcterms:W3CDTF">2025-11-02T02:55:06Z</dcterms:modified>
</cp:coreProperties>
</file>